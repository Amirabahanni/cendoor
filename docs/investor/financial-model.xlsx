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  <sheet name="Summary" sheetId="4" state="visible" r:id="rId4"/>
    <sheet name="Sensitivity" sheetId="5" state="visible" r:id="rId5"/>
    <sheet name="Mar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#,##0.0;(#,##0.0);-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F5C5C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0F5C5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165" fontId="5" fillId="3" borderId="0" pivotButton="0" quotePrefix="0" xfId="0"/>
    <xf numFmtId="0" fontId="2" fillId="0" borderId="0" pivotButton="0" quotePrefix="0" xfId="0"/>
    <xf numFmtId="164" fontId="5" fillId="0" borderId="0" pivotButton="0" quotePrefix="0" xfId="0"/>
    <xf numFmtId="164" fontId="2" fillId="0" borderId="0" pivotButton="0" quotePrefix="0" xfId="0"/>
    <xf numFmtId="166" fontId="5" fillId="0" borderId="0" pivotButton="0" quotePrefix="0" xfId="0"/>
    <xf numFmtId="165" fontId="2" fillId="0" borderId="0" pivotButton="0" quotePrefix="0" xfId="0"/>
    <xf numFmtId="167" fontId="2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167" fontId="3" fillId="0" borderId="0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Cendoor financial model (MAD)</t>
        </is>
      </c>
    </row>
    <row r="3">
      <c r="B3" s="2" t="inlineStr">
        <is>
          <t>What this is</t>
        </is>
      </c>
    </row>
    <row r="4">
      <c r="B4" s="3" t="inlineStr">
        <is>
          <t>A simple monthly model of a subscription business: paying sellers x price, minus the direct cost of serving each seller, minus fixed costs. It is built from founder/numbers.json and the CFO tool output, so its results should match them (see the check on the Summary sheet).</t>
        </is>
      </c>
    </row>
    <row r="5">
      <c r="B5" s="3" t="inlineStr"/>
    </row>
    <row r="6">
      <c r="B6" s="2" t="inlineStr">
        <is>
          <t>How to use it</t>
        </is>
      </c>
    </row>
    <row r="7">
      <c r="B7" s="3" t="inlineStr">
        <is>
          <t>Blue cells on a yellow fill are the inputs you can change (Assumptions and Ramp). Black cells are formulas. Change an input and every sheet updates.</t>
        </is>
      </c>
    </row>
    <row r="8">
      <c r="B8" s="3" t="inlineStr">
        <is>
          <t>Sheets: Assumptions (prices, costs), Model (36 months), Summary (year 1 to 3, break-even, cash needed, check against the CFO tool), Sensitivity (break-even for different prices and founder pay), Market (top-down market sizing).</t>
        </is>
      </c>
    </row>
    <row r="9">
      <c r="B9" s="3" t="inlineStr"/>
    </row>
    <row r="10">
      <c r="B10" s="2" t="inlineStr">
        <is>
          <t>Read this before relying on it</t>
        </is>
      </c>
    </row>
    <row r="11">
      <c r="B11" s="3" t="inlineStr">
        <is>
          <t>1. Almost every cost is an ESTIMATE with no quote. Sources and status are in founder/cfo-sources.md. The WhatsApp provider fee is a vendor-published figure, unverified.</t>
        </is>
      </c>
    </row>
    <row r="12">
      <c r="B12" s="3" t="inlineStr">
        <is>
          <t>2. The ramp of paying sellers (months 1 to 12) is an assumption from the CFO model. It is NOT a forecast and no real seller has paid yet. Months 13 to 36 simply add a fixed number of sellers a month (an assumption you can change).</t>
        </is>
      </c>
    </row>
    <row r="13">
      <c r="B13" s="3" t="inlineStr">
        <is>
          <t>3. The founder is paid 0 by default. Put a salary in Assumptions to see the honest picture: break-even rises sharply.</t>
        </is>
      </c>
    </row>
    <row r="14">
      <c r="B14" s="3" t="inlineStr">
        <is>
          <t>4. No churn is modelled: the ramp is net paying sellers. Add churn by lowering the ramp.</t>
        </is>
      </c>
    </row>
    <row r="15">
      <c r="B15" s="3" t="inlineStr">
        <is>
          <t>5. The market figures are assumptions, not statistics: no official count of social-media sellers exists. See docs/investor/market-sizing.md.</t>
        </is>
      </c>
    </row>
    <row r="16">
      <c r="B16" s="3" t="inlineStr">
        <is>
          <t>6. Not financial, tax or legal advice. Have an accountant check it before using it for fundraising or tax.</t>
        </is>
      </c>
    </row>
    <row r="17">
      <c r="B17" s="3" t="inlineStr"/>
    </row>
    <row r="18">
      <c r="B18" s="2" t="inlineStr">
        <is>
          <t>Colour code</t>
        </is>
      </c>
    </row>
    <row r="19">
      <c r="B19" s="3" t="inlineStr">
        <is>
          <t>Blue text = input. Black = formula. Yellow fill = a key assumption to review. Amounts are in MAD unless a header says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80" customWidth="1" min="3" max="3"/>
  </cols>
  <sheetData>
    <row r="1">
      <c r="A1" s="1" t="inlineStr">
        <is>
          <t>Assumptions (MAD)</t>
        </is>
      </c>
    </row>
    <row r="2">
      <c r="A2" s="4" t="inlineStr">
        <is>
          <t>Item</t>
        </is>
      </c>
      <c r="B2" s="4" t="inlineStr">
        <is>
          <t>Value</t>
        </is>
      </c>
      <c r="C2" s="4" t="inlineStr">
        <is>
          <t>Source / status</t>
        </is>
      </c>
    </row>
    <row r="3">
      <c r="A3" s="5" t="inlineStr">
        <is>
          <t>Price per paying seller (MAD / month)</t>
        </is>
      </c>
      <c r="B3" s="6" t="n">
        <v>149</v>
      </c>
      <c r="C3" s="7" t="inlineStr">
        <is>
          <t>Solo plan. Founding price is 99; test both. Source: founder plan.</t>
        </is>
      </c>
    </row>
    <row r="4">
      <c r="A4" s="5" t="inlineStr">
        <is>
          <t>Variable cost per paying seller (MAD / month)</t>
        </is>
      </c>
      <c r="B4" s="8" t="n">
        <v>22.8</v>
      </c>
      <c r="C4" s="7" t="inlineStr">
        <is>
          <t>ESTIMATE: WhatsApp messages 12, AI usage 5, payment fees about 3.7, storage 2 = 22.7; the CFO tool rounds to 0.76 per day x 30 = 22.8. founder/cfo-sources.md</t>
        </is>
      </c>
    </row>
    <row r="6">
      <c r="A6" s="9" t="inlineStr">
        <is>
          <t>Fixed costs per month</t>
        </is>
      </c>
    </row>
    <row r="7">
      <c r="A7" s="5" t="inlineStr">
        <is>
          <t>Hosting with headroom</t>
        </is>
      </c>
      <c r="B7" s="10" t="n">
        <v>150</v>
      </c>
      <c r="C7" s="7" t="inlineStr">
        <is>
          <t>Render Starter about 95 MAD + disk; rounded up. Estimate.</t>
        </is>
      </c>
    </row>
    <row r="8">
      <c r="A8" s="5" t="inlineStr">
        <is>
          <t>Domain, email, tools</t>
        </is>
      </c>
      <c r="B8" s="10" t="n">
        <v>100</v>
      </c>
      <c r="C8" s="7" t="inlineStr">
        <is>
          <t>Estimate.</t>
        </is>
      </c>
    </row>
    <row r="9">
      <c r="A9" s="5" t="inlineStr">
        <is>
          <t>Accountant and data-protection (CNDP) reserve</t>
        </is>
      </c>
      <c r="B9" s="10" t="n">
        <v>400</v>
      </c>
      <c r="C9" s="7" t="inlineStr">
        <is>
          <t>Estimate; no quote.</t>
        </is>
      </c>
    </row>
    <row r="10">
      <c r="A10" s="5" t="inlineStr">
        <is>
          <t>WhatsApp provider platform fee</t>
        </is>
      </c>
      <c r="B10" s="10" t="n">
        <v>290</v>
      </c>
      <c r="C10" s="7" t="inlineStr">
        <is>
          <t>One provider lists about 290 MAD/month for its entry plan (vendor blog, unverified).</t>
        </is>
      </c>
    </row>
    <row r="11">
      <c r="A11" s="5" t="inlineStr">
        <is>
          <t>Marketing: ads and creators</t>
        </is>
      </c>
      <c r="B11" s="6" t="n">
        <v>2000</v>
      </c>
      <c r="C11" s="7" t="inlineStr">
        <is>
          <t>Estimate; the founder has not set a budget.</t>
        </is>
      </c>
    </row>
    <row r="12">
      <c r="A12" s="5" t="inlineStr">
        <is>
          <t>Founder pay (MAD / month)</t>
        </is>
      </c>
      <c r="B12" s="6" t="n">
        <v>0</v>
      </c>
      <c r="C12" s="7" t="inlineStr">
        <is>
          <t>NOT included in the CFO model. Enter a salary to see the real break-even.</t>
        </is>
      </c>
    </row>
    <row r="13">
      <c r="A13" s="9" t="inlineStr">
        <is>
          <t>Total fixed costs per month</t>
        </is>
      </c>
      <c r="B13" s="11">
        <f>SUM(B7:B12)</f>
        <v/>
      </c>
    </row>
    <row r="15">
      <c r="A15" s="9" t="inlineStr">
        <is>
          <t>One-off startup spend</t>
        </is>
      </c>
    </row>
    <row r="16">
      <c r="A16" s="5" t="inlineStr">
        <is>
          <t>Company registration and first accounting</t>
        </is>
      </c>
      <c r="B16" s="10" t="n">
        <v>6000</v>
      </c>
      <c r="C16" s="7" t="inlineStr">
        <is>
          <t>Estimate; no quote.</t>
        </is>
      </c>
    </row>
    <row r="17">
      <c r="A17" s="5" t="inlineStr">
        <is>
          <t>Legal advice incl. CNDP (Law 09-08)</t>
        </is>
      </c>
      <c r="B17" s="10" t="n">
        <v>5000</v>
      </c>
      <c r="C17" s="7" t="inlineStr">
        <is>
          <t>Estimate; no quote.</t>
        </is>
      </c>
    </row>
    <row r="18">
      <c r="A18" s="5" t="inlineStr">
        <is>
          <t>Brand, domain, setup</t>
        </is>
      </c>
      <c r="B18" s="10" t="n">
        <v>1000</v>
      </c>
      <c r="C18" s="7" t="inlineStr">
        <is>
          <t>Estimate; no quote.</t>
        </is>
      </c>
    </row>
    <row r="19">
      <c r="A19" s="5" t="inlineStr">
        <is>
          <t>Launch marketing and pilot incentives</t>
        </is>
      </c>
      <c r="B19" s="10" t="n">
        <v>5000</v>
      </c>
      <c r="C19" s="7" t="inlineStr">
        <is>
          <t>Estimate; no quote.</t>
        </is>
      </c>
    </row>
    <row r="20">
      <c r="A20" s="5" t="inlineStr">
        <is>
          <t>WhatsApp provider onboarding</t>
        </is>
      </c>
      <c r="B20" s="10" t="n">
        <v>2000</v>
      </c>
      <c r="C20" s="7" t="inlineStr">
        <is>
          <t>Estimate; no quote.</t>
        </is>
      </c>
    </row>
    <row r="21">
      <c r="A21" s="9" t="inlineStr">
        <is>
          <t>Total startup spend</t>
        </is>
      </c>
      <c r="B21" s="11">
        <f>SUM(B16:B20)</f>
        <v/>
      </c>
    </row>
    <row r="23">
      <c r="A23" s="5" t="inlineStr">
        <is>
          <t>Net new paying sellers per month after month 12</t>
        </is>
      </c>
      <c r="B23" s="6" t="n">
        <v>6</v>
      </c>
      <c r="C23" s="7" t="inlineStr">
        <is>
          <t>ASSUMPTION: months 1 to 12 come from the CFO ramp (Model sheet); after that this many are added each month.</t>
        </is>
      </c>
    </row>
    <row r="24">
      <c r="A24" s="5" t="inlineStr">
        <is>
          <t>MAD per USD (for USD figures)</t>
        </is>
      </c>
      <c r="B24" s="12" t="n">
        <v>10</v>
      </c>
      <c r="C24" s="7" t="inlineStr">
        <is>
          <t>Rough assumption, not a quote.</t>
        </is>
      </c>
    </row>
    <row r="25">
      <c r="A25" s="9" t="inlineStr">
        <is>
          <t>Contribution per paying seller (MAD / month)</t>
        </is>
      </c>
      <c r="B25" s="13">
        <f>B3-B4</f>
        <v/>
      </c>
    </row>
    <row r="26">
      <c r="A26" s="9" t="inlineStr">
        <is>
          <t>Contribution margin</t>
        </is>
      </c>
      <c r="B26" s="14">
        <f>IF(B3=0,0,B25/B3)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22" customWidth="1" min="8" max="8"/>
    <col width="16" customWidth="1" min="9" max="9"/>
  </cols>
  <sheetData>
    <row r="1">
      <c r="A1" s="1" t="inlineStr">
        <is>
          <t>Monthly model, 36 months (MAD)</t>
        </is>
      </c>
    </row>
    <row r="2">
      <c r="A2" s="7" t="inlineStr">
        <is>
          <t>Paying sellers for months 1 to 12 are inputs (the CFO ramp); months 13 to 36 add the net new sellers set in Assumptions.</t>
        </is>
      </c>
    </row>
    <row r="3" ht="44" customHeight="1">
      <c r="A3" s="4" t="inlineStr">
        <is>
          <t>Month</t>
        </is>
      </c>
      <c r="B3" s="4" t="inlineStr">
        <is>
          <t>Paying sellers (end of month)</t>
        </is>
      </c>
      <c r="C3" s="4" t="inlineStr">
        <is>
          <t>Revenue</t>
        </is>
      </c>
      <c r="D3" s="4" t="inlineStr">
        <is>
          <t>Variable costs</t>
        </is>
      </c>
      <c r="E3" s="4" t="inlineStr">
        <is>
          <t>Contribution</t>
        </is>
      </c>
      <c r="F3" s="4" t="inlineStr">
        <is>
          <t>Fixed costs (incl. founder pay)</t>
        </is>
      </c>
      <c r="G3" s="4" t="inlineStr">
        <is>
          <t>Operating profit</t>
        </is>
      </c>
      <c r="H3" s="4" t="inlineStr">
        <is>
          <t>Cumulative cash (after startup spend)</t>
        </is>
      </c>
      <c r="I3" s="4" t="inlineStr">
        <is>
          <t>Profit positive? (1 = yes)</t>
        </is>
      </c>
    </row>
    <row r="4">
      <c r="A4" s="15" t="n">
        <v>1</v>
      </c>
      <c r="B4" s="6" t="n">
        <v>0</v>
      </c>
      <c r="C4" s="16">
        <f>B4*Assumptions!$B$3</f>
        <v/>
      </c>
      <c r="D4" s="16">
        <f>B4*Assumptions!$B$4</f>
        <v/>
      </c>
      <c r="E4" s="16">
        <f>C4-D4</f>
        <v/>
      </c>
      <c r="F4" s="16">
        <f>Assumptions!$B$13</f>
        <v/>
      </c>
      <c r="G4" s="16">
        <f>E4-F4</f>
        <v/>
      </c>
      <c r="H4" s="16">
        <f>-Assumptions!$B$21+G4</f>
        <v/>
      </c>
      <c r="I4" s="15">
        <f>IF(G4&gt;0,1,0)</f>
        <v/>
      </c>
    </row>
    <row r="5">
      <c r="A5" s="15" t="n">
        <v>2</v>
      </c>
      <c r="B5" s="6" t="n">
        <v>3</v>
      </c>
      <c r="C5" s="16">
        <f>B5*Assumptions!$B$3</f>
        <v/>
      </c>
      <c r="D5" s="16">
        <f>B5*Assumptions!$B$4</f>
        <v/>
      </c>
      <c r="E5" s="16">
        <f>C5-D5</f>
        <v/>
      </c>
      <c r="F5" s="16">
        <f>Assumptions!$B$13</f>
        <v/>
      </c>
      <c r="G5" s="16">
        <f>E5-F5</f>
        <v/>
      </c>
      <c r="H5" s="16">
        <f>H4+G5</f>
        <v/>
      </c>
      <c r="I5" s="15">
        <f>IF(G5&gt;0,1,0)</f>
        <v/>
      </c>
    </row>
    <row r="6">
      <c r="A6" s="15" t="n">
        <v>3</v>
      </c>
      <c r="B6" s="6" t="n">
        <v>6</v>
      </c>
      <c r="C6" s="16">
        <f>B6*Assumptions!$B$3</f>
        <v/>
      </c>
      <c r="D6" s="16">
        <f>B6*Assumptions!$B$4</f>
        <v/>
      </c>
      <c r="E6" s="16">
        <f>C6-D6</f>
        <v/>
      </c>
      <c r="F6" s="16">
        <f>Assumptions!$B$13</f>
        <v/>
      </c>
      <c r="G6" s="16">
        <f>E6-F6</f>
        <v/>
      </c>
      <c r="H6" s="16">
        <f>H5+G6</f>
        <v/>
      </c>
      <c r="I6" s="15">
        <f>IF(G6&gt;0,1,0)</f>
        <v/>
      </c>
    </row>
    <row r="7">
      <c r="A7" s="15" t="n">
        <v>4</v>
      </c>
      <c r="B7" s="6" t="n">
        <v>10</v>
      </c>
      <c r="C7" s="16">
        <f>B7*Assumptions!$B$3</f>
        <v/>
      </c>
      <c r="D7" s="16">
        <f>B7*Assumptions!$B$4</f>
        <v/>
      </c>
      <c r="E7" s="16">
        <f>C7-D7</f>
        <v/>
      </c>
      <c r="F7" s="16">
        <f>Assumptions!$B$13</f>
        <v/>
      </c>
      <c r="G7" s="16">
        <f>E7-F7</f>
        <v/>
      </c>
      <c r="H7" s="16">
        <f>H6+G7</f>
        <v/>
      </c>
      <c r="I7" s="15">
        <f>IF(G7&gt;0,1,0)</f>
        <v/>
      </c>
    </row>
    <row r="8">
      <c r="A8" s="15" t="n">
        <v>5</v>
      </c>
      <c r="B8" s="6" t="n">
        <v>15</v>
      </c>
      <c r="C8" s="16">
        <f>B8*Assumptions!$B$3</f>
        <v/>
      </c>
      <c r="D8" s="16">
        <f>B8*Assumptions!$B$4</f>
        <v/>
      </c>
      <c r="E8" s="16">
        <f>C8-D8</f>
        <v/>
      </c>
      <c r="F8" s="16">
        <f>Assumptions!$B$13</f>
        <v/>
      </c>
      <c r="G8" s="16">
        <f>E8-F8</f>
        <v/>
      </c>
      <c r="H8" s="16">
        <f>H7+G8</f>
        <v/>
      </c>
      <c r="I8" s="15">
        <f>IF(G8&gt;0,1,0)</f>
        <v/>
      </c>
    </row>
    <row r="9">
      <c r="A9" s="15" t="n">
        <v>6</v>
      </c>
      <c r="B9" s="6" t="n">
        <v>20</v>
      </c>
      <c r="C9" s="16">
        <f>B9*Assumptions!$B$3</f>
        <v/>
      </c>
      <c r="D9" s="16">
        <f>B9*Assumptions!$B$4</f>
        <v/>
      </c>
      <c r="E9" s="16">
        <f>C9-D9</f>
        <v/>
      </c>
      <c r="F9" s="16">
        <f>Assumptions!$B$13</f>
        <v/>
      </c>
      <c r="G9" s="16">
        <f>E9-F9</f>
        <v/>
      </c>
      <c r="H9" s="16">
        <f>H8+G9</f>
        <v/>
      </c>
      <c r="I9" s="15">
        <f>IF(G9&gt;0,1,0)</f>
        <v/>
      </c>
    </row>
    <row r="10">
      <c r="A10" s="15" t="n">
        <v>7</v>
      </c>
      <c r="B10" s="6" t="n">
        <v>26</v>
      </c>
      <c r="C10" s="16">
        <f>B10*Assumptions!$B$3</f>
        <v/>
      </c>
      <c r="D10" s="16">
        <f>B10*Assumptions!$B$4</f>
        <v/>
      </c>
      <c r="E10" s="16">
        <f>C10-D10</f>
        <v/>
      </c>
      <c r="F10" s="16">
        <f>Assumptions!$B$13</f>
        <v/>
      </c>
      <c r="G10" s="16">
        <f>E10-F10</f>
        <v/>
      </c>
      <c r="H10" s="16">
        <f>H9+G10</f>
        <v/>
      </c>
      <c r="I10" s="15">
        <f>IF(G10&gt;0,1,0)</f>
        <v/>
      </c>
    </row>
    <row r="11">
      <c r="A11" s="15" t="n">
        <v>8</v>
      </c>
      <c r="B11" s="6" t="n">
        <v>32</v>
      </c>
      <c r="C11" s="16">
        <f>B11*Assumptions!$B$3</f>
        <v/>
      </c>
      <c r="D11" s="16">
        <f>B11*Assumptions!$B$4</f>
        <v/>
      </c>
      <c r="E11" s="16">
        <f>C11-D11</f>
        <v/>
      </c>
      <c r="F11" s="16">
        <f>Assumptions!$B$13</f>
        <v/>
      </c>
      <c r="G11" s="16">
        <f>E11-F11</f>
        <v/>
      </c>
      <c r="H11" s="16">
        <f>H10+G11</f>
        <v/>
      </c>
      <c r="I11" s="15">
        <f>IF(G11&gt;0,1,0)</f>
        <v/>
      </c>
    </row>
    <row r="12">
      <c r="A12" s="15" t="n">
        <v>9</v>
      </c>
      <c r="B12" s="6" t="n">
        <v>38</v>
      </c>
      <c r="C12" s="16">
        <f>B12*Assumptions!$B$3</f>
        <v/>
      </c>
      <c r="D12" s="16">
        <f>B12*Assumptions!$B$4</f>
        <v/>
      </c>
      <c r="E12" s="16">
        <f>C12-D12</f>
        <v/>
      </c>
      <c r="F12" s="16">
        <f>Assumptions!$B$13</f>
        <v/>
      </c>
      <c r="G12" s="16">
        <f>E12-F12</f>
        <v/>
      </c>
      <c r="H12" s="16">
        <f>H11+G12</f>
        <v/>
      </c>
      <c r="I12" s="15">
        <f>IF(G12&gt;0,1,0)</f>
        <v/>
      </c>
    </row>
    <row r="13">
      <c r="A13" s="15" t="n">
        <v>10</v>
      </c>
      <c r="B13" s="6" t="n">
        <v>45</v>
      </c>
      <c r="C13" s="16">
        <f>B13*Assumptions!$B$3</f>
        <v/>
      </c>
      <c r="D13" s="16">
        <f>B13*Assumptions!$B$4</f>
        <v/>
      </c>
      <c r="E13" s="16">
        <f>C13-D13</f>
        <v/>
      </c>
      <c r="F13" s="16">
        <f>Assumptions!$B$13</f>
        <v/>
      </c>
      <c r="G13" s="16">
        <f>E13-F13</f>
        <v/>
      </c>
      <c r="H13" s="16">
        <f>H12+G13</f>
        <v/>
      </c>
      <c r="I13" s="15">
        <f>IF(G13&gt;0,1,0)</f>
        <v/>
      </c>
    </row>
    <row r="14">
      <c r="A14" s="15" t="n">
        <v>11</v>
      </c>
      <c r="B14" s="6" t="n">
        <v>52</v>
      </c>
      <c r="C14" s="16">
        <f>B14*Assumptions!$B$3</f>
        <v/>
      </c>
      <c r="D14" s="16">
        <f>B14*Assumptions!$B$4</f>
        <v/>
      </c>
      <c r="E14" s="16">
        <f>C14-D14</f>
        <v/>
      </c>
      <c r="F14" s="16">
        <f>Assumptions!$B$13</f>
        <v/>
      </c>
      <c r="G14" s="16">
        <f>E14-F14</f>
        <v/>
      </c>
      <c r="H14" s="16">
        <f>H13+G14</f>
        <v/>
      </c>
      <c r="I14" s="15">
        <f>IF(G14&gt;0,1,0)</f>
        <v/>
      </c>
    </row>
    <row r="15">
      <c r="A15" s="15" t="n">
        <v>12</v>
      </c>
      <c r="B15" s="6" t="n">
        <v>60</v>
      </c>
      <c r="C15" s="16">
        <f>B15*Assumptions!$B$3</f>
        <v/>
      </c>
      <c r="D15" s="16">
        <f>B15*Assumptions!$B$4</f>
        <v/>
      </c>
      <c r="E15" s="16">
        <f>C15-D15</f>
        <v/>
      </c>
      <c r="F15" s="16">
        <f>Assumptions!$B$13</f>
        <v/>
      </c>
      <c r="G15" s="16">
        <f>E15-F15</f>
        <v/>
      </c>
      <c r="H15" s="16">
        <f>H14+G15</f>
        <v/>
      </c>
      <c r="I15" s="15">
        <f>IF(G15&gt;0,1,0)</f>
        <v/>
      </c>
    </row>
    <row r="16">
      <c r="A16" s="15" t="n">
        <v>13</v>
      </c>
      <c r="B16" s="16">
        <f>B15+Assumptions!$B$23</f>
        <v/>
      </c>
      <c r="C16" s="16">
        <f>B16*Assumptions!$B$3</f>
        <v/>
      </c>
      <c r="D16" s="16">
        <f>B16*Assumptions!$B$4</f>
        <v/>
      </c>
      <c r="E16" s="16">
        <f>C16-D16</f>
        <v/>
      </c>
      <c r="F16" s="16">
        <f>Assumptions!$B$13</f>
        <v/>
      </c>
      <c r="G16" s="16">
        <f>E16-F16</f>
        <v/>
      </c>
      <c r="H16" s="16">
        <f>H15+G16</f>
        <v/>
      </c>
      <c r="I16" s="15">
        <f>IF(G16&gt;0,1,0)</f>
        <v/>
      </c>
    </row>
    <row r="17">
      <c r="A17" s="15" t="n">
        <v>14</v>
      </c>
      <c r="B17" s="16">
        <f>B16+Assumptions!$B$23</f>
        <v/>
      </c>
      <c r="C17" s="16">
        <f>B17*Assumptions!$B$3</f>
        <v/>
      </c>
      <c r="D17" s="16">
        <f>B17*Assumptions!$B$4</f>
        <v/>
      </c>
      <c r="E17" s="16">
        <f>C17-D17</f>
        <v/>
      </c>
      <c r="F17" s="16">
        <f>Assumptions!$B$13</f>
        <v/>
      </c>
      <c r="G17" s="16">
        <f>E17-F17</f>
        <v/>
      </c>
      <c r="H17" s="16">
        <f>H16+G17</f>
        <v/>
      </c>
      <c r="I17" s="15">
        <f>IF(G17&gt;0,1,0)</f>
        <v/>
      </c>
    </row>
    <row r="18">
      <c r="A18" s="15" t="n">
        <v>15</v>
      </c>
      <c r="B18" s="16">
        <f>B17+Assumptions!$B$23</f>
        <v/>
      </c>
      <c r="C18" s="16">
        <f>B18*Assumptions!$B$3</f>
        <v/>
      </c>
      <c r="D18" s="16">
        <f>B18*Assumptions!$B$4</f>
        <v/>
      </c>
      <c r="E18" s="16">
        <f>C18-D18</f>
        <v/>
      </c>
      <c r="F18" s="16">
        <f>Assumptions!$B$13</f>
        <v/>
      </c>
      <c r="G18" s="16">
        <f>E18-F18</f>
        <v/>
      </c>
      <c r="H18" s="16">
        <f>H17+G18</f>
        <v/>
      </c>
      <c r="I18" s="15">
        <f>IF(G18&gt;0,1,0)</f>
        <v/>
      </c>
    </row>
    <row r="19">
      <c r="A19" s="15" t="n">
        <v>16</v>
      </c>
      <c r="B19" s="16">
        <f>B18+Assumptions!$B$23</f>
        <v/>
      </c>
      <c r="C19" s="16">
        <f>B19*Assumptions!$B$3</f>
        <v/>
      </c>
      <c r="D19" s="16">
        <f>B19*Assumptions!$B$4</f>
        <v/>
      </c>
      <c r="E19" s="16">
        <f>C19-D19</f>
        <v/>
      </c>
      <c r="F19" s="16">
        <f>Assumptions!$B$13</f>
        <v/>
      </c>
      <c r="G19" s="16">
        <f>E19-F19</f>
        <v/>
      </c>
      <c r="H19" s="16">
        <f>H18+G19</f>
        <v/>
      </c>
      <c r="I19" s="15">
        <f>IF(G19&gt;0,1,0)</f>
        <v/>
      </c>
    </row>
    <row r="20">
      <c r="A20" s="15" t="n">
        <v>17</v>
      </c>
      <c r="B20" s="16">
        <f>B19+Assumptions!$B$23</f>
        <v/>
      </c>
      <c r="C20" s="16">
        <f>B20*Assumptions!$B$3</f>
        <v/>
      </c>
      <c r="D20" s="16">
        <f>B20*Assumptions!$B$4</f>
        <v/>
      </c>
      <c r="E20" s="16">
        <f>C20-D20</f>
        <v/>
      </c>
      <c r="F20" s="16">
        <f>Assumptions!$B$13</f>
        <v/>
      </c>
      <c r="G20" s="16">
        <f>E20-F20</f>
        <v/>
      </c>
      <c r="H20" s="16">
        <f>H19+G20</f>
        <v/>
      </c>
      <c r="I20" s="15">
        <f>IF(G20&gt;0,1,0)</f>
        <v/>
      </c>
    </row>
    <row r="21">
      <c r="A21" s="15" t="n">
        <v>18</v>
      </c>
      <c r="B21" s="16">
        <f>B20+Assumptions!$B$23</f>
        <v/>
      </c>
      <c r="C21" s="16">
        <f>B21*Assumptions!$B$3</f>
        <v/>
      </c>
      <c r="D21" s="16">
        <f>B21*Assumptions!$B$4</f>
        <v/>
      </c>
      <c r="E21" s="16">
        <f>C21-D21</f>
        <v/>
      </c>
      <c r="F21" s="16">
        <f>Assumptions!$B$13</f>
        <v/>
      </c>
      <c r="G21" s="16">
        <f>E21-F21</f>
        <v/>
      </c>
      <c r="H21" s="16">
        <f>H20+G21</f>
        <v/>
      </c>
      <c r="I21" s="15">
        <f>IF(G21&gt;0,1,0)</f>
        <v/>
      </c>
    </row>
    <row r="22">
      <c r="A22" s="15" t="n">
        <v>19</v>
      </c>
      <c r="B22" s="16">
        <f>B21+Assumptions!$B$23</f>
        <v/>
      </c>
      <c r="C22" s="16">
        <f>B22*Assumptions!$B$3</f>
        <v/>
      </c>
      <c r="D22" s="16">
        <f>B22*Assumptions!$B$4</f>
        <v/>
      </c>
      <c r="E22" s="16">
        <f>C22-D22</f>
        <v/>
      </c>
      <c r="F22" s="16">
        <f>Assumptions!$B$13</f>
        <v/>
      </c>
      <c r="G22" s="16">
        <f>E22-F22</f>
        <v/>
      </c>
      <c r="H22" s="16">
        <f>H21+G22</f>
        <v/>
      </c>
      <c r="I22" s="15">
        <f>IF(G22&gt;0,1,0)</f>
        <v/>
      </c>
    </row>
    <row r="23">
      <c r="A23" s="15" t="n">
        <v>20</v>
      </c>
      <c r="B23" s="16">
        <f>B22+Assumptions!$B$23</f>
        <v/>
      </c>
      <c r="C23" s="16">
        <f>B23*Assumptions!$B$3</f>
        <v/>
      </c>
      <c r="D23" s="16">
        <f>B23*Assumptions!$B$4</f>
        <v/>
      </c>
      <c r="E23" s="16">
        <f>C23-D23</f>
        <v/>
      </c>
      <c r="F23" s="16">
        <f>Assumptions!$B$13</f>
        <v/>
      </c>
      <c r="G23" s="16">
        <f>E23-F23</f>
        <v/>
      </c>
      <c r="H23" s="16">
        <f>H22+G23</f>
        <v/>
      </c>
      <c r="I23" s="15">
        <f>IF(G23&gt;0,1,0)</f>
        <v/>
      </c>
    </row>
    <row r="24">
      <c r="A24" s="15" t="n">
        <v>21</v>
      </c>
      <c r="B24" s="16">
        <f>B23+Assumptions!$B$23</f>
        <v/>
      </c>
      <c r="C24" s="16">
        <f>B24*Assumptions!$B$3</f>
        <v/>
      </c>
      <c r="D24" s="16">
        <f>B24*Assumptions!$B$4</f>
        <v/>
      </c>
      <c r="E24" s="16">
        <f>C24-D24</f>
        <v/>
      </c>
      <c r="F24" s="16">
        <f>Assumptions!$B$13</f>
        <v/>
      </c>
      <c r="G24" s="16">
        <f>E24-F24</f>
        <v/>
      </c>
      <c r="H24" s="16">
        <f>H23+G24</f>
        <v/>
      </c>
      <c r="I24" s="15">
        <f>IF(G24&gt;0,1,0)</f>
        <v/>
      </c>
    </row>
    <row r="25">
      <c r="A25" s="15" t="n">
        <v>22</v>
      </c>
      <c r="B25" s="16">
        <f>B24+Assumptions!$B$23</f>
        <v/>
      </c>
      <c r="C25" s="16">
        <f>B25*Assumptions!$B$3</f>
        <v/>
      </c>
      <c r="D25" s="16">
        <f>B25*Assumptions!$B$4</f>
        <v/>
      </c>
      <c r="E25" s="16">
        <f>C25-D25</f>
        <v/>
      </c>
      <c r="F25" s="16">
        <f>Assumptions!$B$13</f>
        <v/>
      </c>
      <c r="G25" s="16">
        <f>E25-F25</f>
        <v/>
      </c>
      <c r="H25" s="16">
        <f>H24+G25</f>
        <v/>
      </c>
      <c r="I25" s="15">
        <f>IF(G25&gt;0,1,0)</f>
        <v/>
      </c>
    </row>
    <row r="26">
      <c r="A26" s="15" t="n">
        <v>23</v>
      </c>
      <c r="B26" s="16">
        <f>B25+Assumptions!$B$23</f>
        <v/>
      </c>
      <c r="C26" s="16">
        <f>B26*Assumptions!$B$3</f>
        <v/>
      </c>
      <c r="D26" s="16">
        <f>B26*Assumptions!$B$4</f>
        <v/>
      </c>
      <c r="E26" s="16">
        <f>C26-D26</f>
        <v/>
      </c>
      <c r="F26" s="16">
        <f>Assumptions!$B$13</f>
        <v/>
      </c>
      <c r="G26" s="16">
        <f>E26-F26</f>
        <v/>
      </c>
      <c r="H26" s="16">
        <f>H25+G26</f>
        <v/>
      </c>
      <c r="I26" s="15">
        <f>IF(G26&gt;0,1,0)</f>
        <v/>
      </c>
    </row>
    <row r="27">
      <c r="A27" s="15" t="n">
        <v>24</v>
      </c>
      <c r="B27" s="16">
        <f>B26+Assumptions!$B$23</f>
        <v/>
      </c>
      <c r="C27" s="16">
        <f>B27*Assumptions!$B$3</f>
        <v/>
      </c>
      <c r="D27" s="16">
        <f>B27*Assumptions!$B$4</f>
        <v/>
      </c>
      <c r="E27" s="16">
        <f>C27-D27</f>
        <v/>
      </c>
      <c r="F27" s="16">
        <f>Assumptions!$B$13</f>
        <v/>
      </c>
      <c r="G27" s="16">
        <f>E27-F27</f>
        <v/>
      </c>
      <c r="H27" s="16">
        <f>H26+G27</f>
        <v/>
      </c>
      <c r="I27" s="15">
        <f>IF(G27&gt;0,1,0)</f>
        <v/>
      </c>
    </row>
    <row r="28">
      <c r="A28" s="15" t="n">
        <v>25</v>
      </c>
      <c r="B28" s="16">
        <f>B27+Assumptions!$B$23</f>
        <v/>
      </c>
      <c r="C28" s="16">
        <f>B28*Assumptions!$B$3</f>
        <v/>
      </c>
      <c r="D28" s="16">
        <f>B28*Assumptions!$B$4</f>
        <v/>
      </c>
      <c r="E28" s="16">
        <f>C28-D28</f>
        <v/>
      </c>
      <c r="F28" s="16">
        <f>Assumptions!$B$13</f>
        <v/>
      </c>
      <c r="G28" s="16">
        <f>E28-F28</f>
        <v/>
      </c>
      <c r="H28" s="16">
        <f>H27+G28</f>
        <v/>
      </c>
      <c r="I28" s="15">
        <f>IF(G28&gt;0,1,0)</f>
        <v/>
      </c>
    </row>
    <row r="29">
      <c r="A29" s="15" t="n">
        <v>26</v>
      </c>
      <c r="B29" s="16">
        <f>B28+Assumptions!$B$23</f>
        <v/>
      </c>
      <c r="C29" s="16">
        <f>B29*Assumptions!$B$3</f>
        <v/>
      </c>
      <c r="D29" s="16">
        <f>B29*Assumptions!$B$4</f>
        <v/>
      </c>
      <c r="E29" s="16">
        <f>C29-D29</f>
        <v/>
      </c>
      <c r="F29" s="16">
        <f>Assumptions!$B$13</f>
        <v/>
      </c>
      <c r="G29" s="16">
        <f>E29-F29</f>
        <v/>
      </c>
      <c r="H29" s="16">
        <f>H28+G29</f>
        <v/>
      </c>
      <c r="I29" s="15">
        <f>IF(G29&gt;0,1,0)</f>
        <v/>
      </c>
    </row>
    <row r="30">
      <c r="A30" s="15" t="n">
        <v>27</v>
      </c>
      <c r="B30" s="16">
        <f>B29+Assumptions!$B$23</f>
        <v/>
      </c>
      <c r="C30" s="16">
        <f>B30*Assumptions!$B$3</f>
        <v/>
      </c>
      <c r="D30" s="16">
        <f>B30*Assumptions!$B$4</f>
        <v/>
      </c>
      <c r="E30" s="16">
        <f>C30-D30</f>
        <v/>
      </c>
      <c r="F30" s="16">
        <f>Assumptions!$B$13</f>
        <v/>
      </c>
      <c r="G30" s="16">
        <f>E30-F30</f>
        <v/>
      </c>
      <c r="H30" s="16">
        <f>H29+G30</f>
        <v/>
      </c>
      <c r="I30" s="15">
        <f>IF(G30&gt;0,1,0)</f>
        <v/>
      </c>
    </row>
    <row r="31">
      <c r="A31" s="15" t="n">
        <v>28</v>
      </c>
      <c r="B31" s="16">
        <f>B30+Assumptions!$B$23</f>
        <v/>
      </c>
      <c r="C31" s="16">
        <f>B31*Assumptions!$B$3</f>
        <v/>
      </c>
      <c r="D31" s="16">
        <f>B31*Assumptions!$B$4</f>
        <v/>
      </c>
      <c r="E31" s="16">
        <f>C31-D31</f>
        <v/>
      </c>
      <c r="F31" s="16">
        <f>Assumptions!$B$13</f>
        <v/>
      </c>
      <c r="G31" s="16">
        <f>E31-F31</f>
        <v/>
      </c>
      <c r="H31" s="16">
        <f>H30+G31</f>
        <v/>
      </c>
      <c r="I31" s="15">
        <f>IF(G31&gt;0,1,0)</f>
        <v/>
      </c>
    </row>
    <row r="32">
      <c r="A32" s="15" t="n">
        <v>29</v>
      </c>
      <c r="B32" s="16">
        <f>B31+Assumptions!$B$23</f>
        <v/>
      </c>
      <c r="C32" s="16">
        <f>B32*Assumptions!$B$3</f>
        <v/>
      </c>
      <c r="D32" s="16">
        <f>B32*Assumptions!$B$4</f>
        <v/>
      </c>
      <c r="E32" s="16">
        <f>C32-D32</f>
        <v/>
      </c>
      <c r="F32" s="16">
        <f>Assumptions!$B$13</f>
        <v/>
      </c>
      <c r="G32" s="16">
        <f>E32-F32</f>
        <v/>
      </c>
      <c r="H32" s="16">
        <f>H31+G32</f>
        <v/>
      </c>
      <c r="I32" s="15">
        <f>IF(G32&gt;0,1,0)</f>
        <v/>
      </c>
    </row>
    <row r="33">
      <c r="A33" s="15" t="n">
        <v>30</v>
      </c>
      <c r="B33" s="16">
        <f>B32+Assumptions!$B$23</f>
        <v/>
      </c>
      <c r="C33" s="16">
        <f>B33*Assumptions!$B$3</f>
        <v/>
      </c>
      <c r="D33" s="16">
        <f>B33*Assumptions!$B$4</f>
        <v/>
      </c>
      <c r="E33" s="16">
        <f>C33-D33</f>
        <v/>
      </c>
      <c r="F33" s="16">
        <f>Assumptions!$B$13</f>
        <v/>
      </c>
      <c r="G33" s="16">
        <f>E33-F33</f>
        <v/>
      </c>
      <c r="H33" s="16">
        <f>H32+G33</f>
        <v/>
      </c>
      <c r="I33" s="15">
        <f>IF(G33&gt;0,1,0)</f>
        <v/>
      </c>
    </row>
    <row r="34">
      <c r="A34" s="15" t="n">
        <v>31</v>
      </c>
      <c r="B34" s="16">
        <f>B33+Assumptions!$B$23</f>
        <v/>
      </c>
      <c r="C34" s="16">
        <f>B34*Assumptions!$B$3</f>
        <v/>
      </c>
      <c r="D34" s="16">
        <f>B34*Assumptions!$B$4</f>
        <v/>
      </c>
      <c r="E34" s="16">
        <f>C34-D34</f>
        <v/>
      </c>
      <c r="F34" s="16">
        <f>Assumptions!$B$13</f>
        <v/>
      </c>
      <c r="G34" s="16">
        <f>E34-F34</f>
        <v/>
      </c>
      <c r="H34" s="16">
        <f>H33+G34</f>
        <v/>
      </c>
      <c r="I34" s="15">
        <f>IF(G34&gt;0,1,0)</f>
        <v/>
      </c>
    </row>
    <row r="35">
      <c r="A35" s="15" t="n">
        <v>32</v>
      </c>
      <c r="B35" s="16">
        <f>B34+Assumptions!$B$23</f>
        <v/>
      </c>
      <c r="C35" s="16">
        <f>B35*Assumptions!$B$3</f>
        <v/>
      </c>
      <c r="D35" s="16">
        <f>B35*Assumptions!$B$4</f>
        <v/>
      </c>
      <c r="E35" s="16">
        <f>C35-D35</f>
        <v/>
      </c>
      <c r="F35" s="16">
        <f>Assumptions!$B$13</f>
        <v/>
      </c>
      <c r="G35" s="16">
        <f>E35-F35</f>
        <v/>
      </c>
      <c r="H35" s="16">
        <f>H34+G35</f>
        <v/>
      </c>
      <c r="I35" s="15">
        <f>IF(G35&gt;0,1,0)</f>
        <v/>
      </c>
    </row>
    <row r="36">
      <c r="A36" s="15" t="n">
        <v>33</v>
      </c>
      <c r="B36" s="16">
        <f>B35+Assumptions!$B$23</f>
        <v/>
      </c>
      <c r="C36" s="16">
        <f>B36*Assumptions!$B$3</f>
        <v/>
      </c>
      <c r="D36" s="16">
        <f>B36*Assumptions!$B$4</f>
        <v/>
      </c>
      <c r="E36" s="16">
        <f>C36-D36</f>
        <v/>
      </c>
      <c r="F36" s="16">
        <f>Assumptions!$B$13</f>
        <v/>
      </c>
      <c r="G36" s="16">
        <f>E36-F36</f>
        <v/>
      </c>
      <c r="H36" s="16">
        <f>H35+G36</f>
        <v/>
      </c>
      <c r="I36" s="15">
        <f>IF(G36&gt;0,1,0)</f>
        <v/>
      </c>
    </row>
    <row r="37">
      <c r="A37" s="15" t="n">
        <v>34</v>
      </c>
      <c r="B37" s="16">
        <f>B36+Assumptions!$B$23</f>
        <v/>
      </c>
      <c r="C37" s="16">
        <f>B37*Assumptions!$B$3</f>
        <v/>
      </c>
      <c r="D37" s="16">
        <f>B37*Assumptions!$B$4</f>
        <v/>
      </c>
      <c r="E37" s="16">
        <f>C37-D37</f>
        <v/>
      </c>
      <c r="F37" s="16">
        <f>Assumptions!$B$13</f>
        <v/>
      </c>
      <c r="G37" s="16">
        <f>E37-F37</f>
        <v/>
      </c>
      <c r="H37" s="16">
        <f>H36+G37</f>
        <v/>
      </c>
      <c r="I37" s="15">
        <f>IF(G37&gt;0,1,0)</f>
        <v/>
      </c>
    </row>
    <row r="38">
      <c r="A38" s="15" t="n">
        <v>35</v>
      </c>
      <c r="B38" s="16">
        <f>B37+Assumptions!$B$23</f>
        <v/>
      </c>
      <c r="C38" s="16">
        <f>B38*Assumptions!$B$3</f>
        <v/>
      </c>
      <c r="D38" s="16">
        <f>B38*Assumptions!$B$4</f>
        <v/>
      </c>
      <c r="E38" s="16">
        <f>C38-D38</f>
        <v/>
      </c>
      <c r="F38" s="16">
        <f>Assumptions!$B$13</f>
        <v/>
      </c>
      <c r="G38" s="16">
        <f>E38-F38</f>
        <v/>
      </c>
      <c r="H38" s="16">
        <f>H37+G38</f>
        <v/>
      </c>
      <c r="I38" s="15">
        <f>IF(G38&gt;0,1,0)</f>
        <v/>
      </c>
    </row>
    <row r="39">
      <c r="A39" s="15" t="n">
        <v>36</v>
      </c>
      <c r="B39" s="16">
        <f>B38+Assumptions!$B$23</f>
        <v/>
      </c>
      <c r="C39" s="16">
        <f>B39*Assumptions!$B$3</f>
        <v/>
      </c>
      <c r="D39" s="16">
        <f>B39*Assumptions!$B$4</f>
        <v/>
      </c>
      <c r="E39" s="16">
        <f>C39-D39</f>
        <v/>
      </c>
      <c r="F39" s="16">
        <f>Assumptions!$B$13</f>
        <v/>
      </c>
      <c r="G39" s="16">
        <f>E39-F39</f>
        <v/>
      </c>
      <c r="H39" s="16">
        <f>H38+G39</f>
        <v/>
      </c>
      <c r="I39" s="15">
        <f>IF(G39&gt;0,1,0)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Summary (MAD)</t>
        </is>
      </c>
    </row>
    <row r="3">
      <c r="A3" s="4" t="inlineStr"/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</row>
    <row r="4">
      <c r="A4" s="5" t="inlineStr">
        <is>
          <t>Paying sellers at end of year</t>
        </is>
      </c>
      <c r="B4" s="16">
        <f>Model!B15</f>
        <v/>
      </c>
      <c r="C4" s="16">
        <f>Model!B27</f>
        <v/>
      </c>
      <c r="D4" s="16">
        <f>Model!B39</f>
        <v/>
      </c>
    </row>
    <row r="5">
      <c r="A5" s="5" t="inlineStr">
        <is>
          <t>Revenue</t>
        </is>
      </c>
      <c r="B5" s="16">
        <f>SUM(Model!C4:C15)</f>
        <v/>
      </c>
      <c r="C5" s="16">
        <f>SUM(Model!C16:C27)</f>
        <v/>
      </c>
      <c r="D5" s="16">
        <f>SUM(Model!C28:C39)</f>
        <v/>
      </c>
    </row>
    <row r="6">
      <c r="A6" s="5" t="inlineStr">
        <is>
          <t>Variable costs</t>
        </is>
      </c>
      <c r="B6" s="16">
        <f>SUM(Model!D4:D15)</f>
        <v/>
      </c>
      <c r="C6" s="16">
        <f>SUM(Model!D16:D27)</f>
        <v/>
      </c>
      <c r="D6" s="16">
        <f>SUM(Model!D28:D39)</f>
        <v/>
      </c>
    </row>
    <row r="7">
      <c r="A7" s="9" t="inlineStr">
        <is>
          <t>Contribution</t>
        </is>
      </c>
      <c r="B7" s="11">
        <f>SUM(Model!E4:E15)</f>
        <v/>
      </c>
      <c r="C7" s="11">
        <f>SUM(Model!E16:E27)</f>
        <v/>
      </c>
      <c r="D7" s="11">
        <f>SUM(Model!E28:E39)</f>
        <v/>
      </c>
    </row>
    <row r="8">
      <c r="A8" s="5" t="inlineStr">
        <is>
          <t>Fixed costs (incl. founder pay)</t>
        </is>
      </c>
      <c r="B8" s="16">
        <f>SUM(Model!F4:F15)</f>
        <v/>
      </c>
      <c r="C8" s="16">
        <f>SUM(Model!F16:F27)</f>
        <v/>
      </c>
      <c r="D8" s="16">
        <f>SUM(Model!F28:F39)</f>
        <v/>
      </c>
    </row>
    <row r="9">
      <c r="A9" s="9" t="inlineStr">
        <is>
          <t>Operating profit</t>
        </is>
      </c>
      <c r="B9" s="11">
        <f>SUM(Model!G4:G15)</f>
        <v/>
      </c>
      <c r="C9" s="11">
        <f>SUM(Model!G16:G27)</f>
        <v/>
      </c>
      <c r="D9" s="11">
        <f>SUM(Model!G28:G39)</f>
        <v/>
      </c>
    </row>
    <row r="10">
      <c r="A10" s="5" t="inlineStr">
        <is>
          <t>Operating profit after startup spend (year 1)</t>
        </is>
      </c>
      <c r="B10" s="16">
        <f>B9-Assumptions!B21</f>
        <v/>
      </c>
    </row>
    <row r="12">
      <c r="A12" s="9" t="inlineStr">
        <is>
          <t>Break-even and cash</t>
        </is>
      </c>
    </row>
    <row r="13">
      <c r="A13" s="5" t="inlineStr">
        <is>
          <t>Break-even: paying sellers needed</t>
        </is>
      </c>
      <c r="B13" s="16">
        <f>IF(Assumptions!B25&lt;=0,"n/a",ROUNDUP(Assumptions!B13/Assumptions!B25,0))</f>
        <v/>
      </c>
    </row>
    <row r="14">
      <c r="A14" s="5" t="inlineStr">
        <is>
          <t>Month the monthly operating profit first turns positive</t>
        </is>
      </c>
      <c r="B14" s="15">
        <f>IFERROR(INDEX(Model!A4:A39,MATCH(1,Model!I4:I39,0)),"not within 36 months")</f>
        <v/>
      </c>
    </row>
    <row r="15">
      <c r="A15" s="5" t="inlineStr">
        <is>
          <t>Cash needed before it pays for itself (lowest cumulative cash)</t>
        </is>
      </c>
      <c r="B15" s="11">
        <f>MAX(0,-MIN(Model!H4:H39))</f>
        <v/>
      </c>
    </row>
    <row r="16">
      <c r="A16" s="5" t="inlineStr">
        <is>
          <t>Cash needed in USD</t>
        </is>
      </c>
      <c r="B16" s="17">
        <f>B15/Assumptions!B24</f>
        <v/>
      </c>
    </row>
    <row r="17">
      <c r="A17" s="5" t="inlineStr">
        <is>
          <t>Year 1 revenue in USD</t>
        </is>
      </c>
      <c r="B17" s="17">
        <f>B5/Assumptions!B24</f>
        <v/>
      </c>
    </row>
    <row r="19">
      <c r="A19" s="9" t="inlineStr">
        <is>
          <t>Check against the CFO tool (founder/cfo.md)</t>
        </is>
      </c>
    </row>
    <row r="20">
      <c r="A20" s="5" t="inlineStr">
        <is>
          <t>CFO tool: year 1 operating profit (MAD, price 149.1, no founder pay)</t>
        </is>
      </c>
      <c r="B20" s="10" t="n">
        <v>3494</v>
      </c>
      <c r="E20" s="7" t="inlineStr">
        <is>
          <t>Copied from founder/cfo.md. The tool uses 4.97 per day x 30 = 149.1 and 0.76 x 30 = 22.8.</t>
        </is>
      </c>
    </row>
    <row r="21">
      <c r="A21" s="5" t="inlineStr">
        <is>
          <t>This model: year 1 operating profit (set founder pay to 0 and price to 149.1 to match exactly)</t>
        </is>
      </c>
      <c r="B21" s="16">
        <f>B9</f>
        <v/>
      </c>
    </row>
    <row r="22">
      <c r="A22" s="5" t="inlineStr">
        <is>
          <t>Difference</t>
        </is>
      </c>
      <c r="B22" s="16">
        <f>B21-B20</f>
        <v/>
      </c>
      <c r="C22" s="18">
        <f>IF(B20=0,0,B22/B20)</f>
        <v/>
      </c>
      <c r="E22" s="7" t="inlineStr">
        <is>
          <t>Within about 1% when price is 149 (the tool rounds the price to 149.1). A larger gap means an input differs from numbers.json.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Break-even paying sellers: price vs founder pay</t>
        </is>
      </c>
    </row>
    <row r="2">
      <c r="A2" s="7" t="inlineStr">
        <is>
          <t>Each cell = (fixed costs excluding founder pay + founder pay) / (price - variable cost), rounded up. Prices and pay levels are editable inputs.</t>
        </is>
      </c>
    </row>
    <row r="4">
      <c r="A4" s="9" t="inlineStr">
        <is>
          <t>Price (MAD / month)  \  Founder pay (MAD / month)</t>
        </is>
      </c>
      <c r="B4" s="6" t="n">
        <v>0</v>
      </c>
      <c r="C4" s="6" t="n">
        <v>3000</v>
      </c>
      <c r="D4" s="6" t="n">
        <v>6000</v>
      </c>
      <c r="E4" s="6" t="n">
        <v>10000</v>
      </c>
    </row>
    <row r="5">
      <c r="A5" s="6" t="n">
        <v>99</v>
      </c>
      <c r="B5" s="16">
        <f>IF($A5-Assumptions!$B$4&lt;=0,"n/a",ROUNDUP((Assumptions!$B$13-Assumptions!$B$12+B$4)/($A5-Assumptions!$B$4),0))</f>
        <v/>
      </c>
      <c r="C5" s="16">
        <f>IF($A5-Assumptions!$B$4&lt;=0,"n/a",ROUNDUP((Assumptions!$B$13-Assumptions!$B$12+C$4)/($A5-Assumptions!$B$4),0))</f>
        <v/>
      </c>
      <c r="D5" s="16">
        <f>IF($A5-Assumptions!$B$4&lt;=0,"n/a",ROUNDUP((Assumptions!$B$13-Assumptions!$B$12+D$4)/($A5-Assumptions!$B$4),0))</f>
        <v/>
      </c>
      <c r="E5" s="16">
        <f>IF($A5-Assumptions!$B$4&lt;=0,"n/a",ROUNDUP((Assumptions!$B$13-Assumptions!$B$12+E$4)/($A5-Assumptions!$B$4),0))</f>
        <v/>
      </c>
    </row>
    <row r="6">
      <c r="A6" s="6" t="n">
        <v>149</v>
      </c>
      <c r="B6" s="16">
        <f>IF($A6-Assumptions!$B$4&lt;=0,"n/a",ROUNDUP((Assumptions!$B$13-Assumptions!$B$12+B$4)/($A6-Assumptions!$B$4),0))</f>
        <v/>
      </c>
      <c r="C6" s="16">
        <f>IF($A6-Assumptions!$B$4&lt;=0,"n/a",ROUNDUP((Assumptions!$B$13-Assumptions!$B$12+C$4)/($A6-Assumptions!$B$4),0))</f>
        <v/>
      </c>
      <c r="D6" s="16">
        <f>IF($A6-Assumptions!$B$4&lt;=0,"n/a",ROUNDUP((Assumptions!$B$13-Assumptions!$B$12+D$4)/($A6-Assumptions!$B$4),0))</f>
        <v/>
      </c>
      <c r="E6" s="16">
        <f>IF($A6-Assumptions!$B$4&lt;=0,"n/a",ROUNDUP((Assumptions!$B$13-Assumptions!$B$12+E$4)/($A6-Assumptions!$B$4),0))</f>
        <v/>
      </c>
    </row>
    <row r="7">
      <c r="A7" s="6" t="n">
        <v>199</v>
      </c>
      <c r="B7" s="16">
        <f>IF($A7-Assumptions!$B$4&lt;=0,"n/a",ROUNDUP((Assumptions!$B$13-Assumptions!$B$12+B$4)/($A7-Assumptions!$B$4),0))</f>
        <v/>
      </c>
      <c r="C7" s="16">
        <f>IF($A7-Assumptions!$B$4&lt;=0,"n/a",ROUNDUP((Assumptions!$B$13-Assumptions!$B$12+C$4)/($A7-Assumptions!$B$4),0))</f>
        <v/>
      </c>
      <c r="D7" s="16">
        <f>IF($A7-Assumptions!$B$4&lt;=0,"n/a",ROUNDUP((Assumptions!$B$13-Assumptions!$B$12+D$4)/($A7-Assumptions!$B$4),0))</f>
        <v/>
      </c>
      <c r="E7" s="16">
        <f>IF($A7-Assumptions!$B$4&lt;=0,"n/a",ROUNDUP((Assumptions!$B$13-Assumptions!$B$12+E$4)/($A7-Assumptions!$B$4),0))</f>
        <v/>
      </c>
    </row>
    <row r="8">
      <c r="A8" s="6" t="n">
        <v>299</v>
      </c>
      <c r="B8" s="16">
        <f>IF($A8-Assumptions!$B$4&lt;=0,"n/a",ROUNDUP((Assumptions!$B$13-Assumptions!$B$12+B$4)/($A8-Assumptions!$B$4),0))</f>
        <v/>
      </c>
      <c r="C8" s="16">
        <f>IF($A8-Assumptions!$B$4&lt;=0,"n/a",ROUNDUP((Assumptions!$B$13-Assumptions!$B$12+C$4)/($A8-Assumptions!$B$4),0))</f>
        <v/>
      </c>
      <c r="D8" s="16">
        <f>IF($A8-Assumptions!$B$4&lt;=0,"n/a",ROUNDUP((Assumptions!$B$13-Assumptions!$B$12+D$4)/($A8-Assumptions!$B$4),0))</f>
        <v/>
      </c>
      <c r="E8" s="16">
        <f>IF($A8-Assumptions!$B$4&lt;=0,"n/a",ROUNDUP((Assumptions!$B$13-Assumptions!$B$12+E$4)/($A8-Assumptions!$B$4),0))</f>
        <v/>
      </c>
    </row>
    <row r="10">
      <c r="A10" s="7" t="inlineStr">
        <is>
          <t>Reading it: at 99 MAD with no founder pay you need about 39 paying sellers; at 149 MAD about 24; with a 6,000 MAD salary at 149 MAD about 71.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70" customWidth="1" min="5" max="5"/>
  </cols>
  <sheetData>
    <row r="1">
      <c r="A1" s="1" t="inlineStr">
        <is>
          <t>Market sizing: assumptions, not statistics</t>
        </is>
      </c>
    </row>
    <row r="2">
      <c r="A2" s="7" t="inlineStr">
        <is>
          <t>No official count of social-media sellers in Morocco exists. Replace the blue cells with survey data. Sources for the anchors: docs/investor/market-sizing.md.</t>
        </is>
      </c>
    </row>
    <row r="4">
      <c r="A4" s="4" t="inlineStr"/>
      <c r="B4" s="4" t="inlineStr">
        <is>
          <t>Low</t>
        </is>
      </c>
      <c r="C4" s="4" t="inlineStr">
        <is>
          <t>Base</t>
        </is>
      </c>
      <c r="D4" s="4" t="inlineStr">
        <is>
          <t>High</t>
        </is>
      </c>
      <c r="E4" s="4" t="inlineStr">
        <is>
          <t>Basis</t>
        </is>
      </c>
    </row>
    <row r="5">
      <c r="A5" s="5" t="inlineStr">
        <is>
          <t>TAM: sellers who sell via social media or messaging</t>
        </is>
      </c>
      <c r="B5" s="6" t="n">
        <v>50000</v>
      </c>
      <c r="C5" s="6" t="n">
        <v>100000</v>
      </c>
      <c r="D5" s="6" t="n">
        <v>150000</v>
      </c>
      <c r="E5" s="7" t="inlineStr">
        <is>
          <t>ASSUMPTION. Anchor: 463,383 auto-entrepreneurs at end of 2025 (a minority sell online) plus unregistered sellers.</t>
        </is>
      </c>
    </row>
    <row r="6">
      <c r="A6" s="5" t="inlineStr">
        <is>
          <t>Share who are regular sellers, take COD and would pay (SAM share)</t>
        </is>
      </c>
      <c r="B6" s="19" t="n">
        <v>0.3</v>
      </c>
      <c r="C6" s="19" t="n">
        <v>0.3</v>
      </c>
      <c r="D6" s="19" t="n">
        <v>0.3</v>
      </c>
      <c r="E6" s="7" t="inlineStr">
        <is>
          <t>ASSUMPTION. The simulated panel (an upper bound) said 25% would try the offer.</t>
        </is>
      </c>
    </row>
    <row r="7">
      <c r="A7" s="9" t="inlineStr">
        <is>
          <t>SAM: serviceable sellers</t>
        </is>
      </c>
      <c r="B7" s="11">
        <f>B5*B6</f>
        <v/>
      </c>
      <c r="C7" s="11">
        <f>C5*C6</f>
        <v/>
      </c>
      <c r="D7" s="11">
        <f>D5*D6</f>
        <v/>
      </c>
    </row>
    <row r="8">
      <c r="A8" s="5" t="inlineStr">
        <is>
          <t>Share Cendoor wins in 3 years (SOM share)</t>
        </is>
      </c>
      <c r="B8" s="19" t="n">
        <v>0.03</v>
      </c>
      <c r="C8" s="19" t="n">
        <v>0.04</v>
      </c>
      <c r="D8" s="19" t="n">
        <v>0.05</v>
      </c>
      <c r="E8" s="7" t="inlineStr">
        <is>
          <t>ASSUMPTION.</t>
        </is>
      </c>
    </row>
    <row r="9">
      <c r="A9" s="9" t="inlineStr">
        <is>
          <t>SOM: paying sellers in year 3</t>
        </is>
      </c>
      <c r="B9" s="11">
        <f>B7*B8</f>
        <v/>
      </c>
      <c r="C9" s="11">
        <f>C7*C8</f>
        <v/>
      </c>
      <c r="D9" s="11">
        <f>D7*D8</f>
        <v/>
      </c>
    </row>
    <row r="10">
      <c r="A10" s="5" t="inlineStr">
        <is>
          <t>Annual revenue at the model price (MAD)</t>
        </is>
      </c>
      <c r="B10" s="16">
        <f>B9*Assumptions!$B$3*12</f>
        <v/>
      </c>
      <c r="C10" s="16">
        <f>C9*Assumptions!$B$3*12</f>
        <v/>
      </c>
      <c r="D10" s="16">
        <f>D9*Assumptions!$B$3*12</f>
        <v/>
      </c>
    </row>
    <row r="11">
      <c r="A11" s="5" t="inlineStr">
        <is>
          <t>Annual revenue (USD)</t>
        </is>
      </c>
      <c r="B11" s="17">
        <f>B10/Assumptions!$B$24</f>
        <v/>
      </c>
      <c r="C11" s="17">
        <f>C10/Assumptions!$B$24</f>
        <v/>
      </c>
      <c r="D11" s="17">
        <f>D10/Assumptions!$B$24</f>
        <v/>
      </c>
    </row>
    <row r="12">
      <c r="A12" s="5" t="inlineStr">
        <is>
          <t>SAM as annual revenue (MAD)</t>
        </is>
      </c>
      <c r="B12" s="16">
        <f>B7*Assumptions!$B$3*12</f>
        <v/>
      </c>
      <c r="C12" s="16">
        <f>C7*Assumptions!$B$3*12</f>
        <v/>
      </c>
      <c r="D12" s="16">
        <f>D7*Assumptions!$B$3*12</f>
        <v/>
      </c>
    </row>
    <row r="14">
      <c r="A14" s="7" t="inlineStr">
        <is>
          <t>Reading it: even the high case is a few hundred thousand USD a year in Morocco alone. Investor-scale needs more revenue per seller, expansion, or a much larger seller base, all unproven.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2026-10-19T21:11:09Z</dcterms:created>
  <dcterms:modified xsi:type="dcterms:W3CDTF">2026-10-19T21:11:09Z</dcterms:modified>
</cp:coreProperties>
</file>